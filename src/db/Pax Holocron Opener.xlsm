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ome/Development/msf-database/src/db/"/>
    </mc:Choice>
  </mc:AlternateContent>
  <xr:revisionPtr revIDLastSave="0" documentId="8_{6BBDC27F-6912-0849-81CE-D97F0F32DFA7}" xr6:coauthVersionLast="47" xr6:coauthVersionMax="47" xr10:uidLastSave="{00000000-0000-0000-0000-000000000000}"/>
  <bookViews>
    <workbookView xWindow="0" yWindow="500" windowWidth="13740" windowHeight="15840" xr2:uid="{D634B38A-042C-4822-8D41-408F172A60E0}"/>
  </bookViews>
  <sheets>
    <sheet name="Blank Sheet" sheetId="5" r:id="rId1"/>
    <sheet name="Roll Results - Pax" sheetId="4" r:id="rId2"/>
    <sheet name="Roll Results - Ru" sheetId="3" r:id="rId3"/>
    <sheet name="Lists" sheetId="2" r:id="rId4"/>
    <sheet name="Answer" sheetId="1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2" l="1"/>
  <c r="B1" i="2"/>
</calcChain>
</file>

<file path=xl/sharedStrings.xml><?xml version="1.0" encoding="utf-8"?>
<sst xmlns="http://schemas.openxmlformats.org/spreadsheetml/2006/main" count="168" uniqueCount="84">
  <si>
    <t>Skill</t>
  </si>
  <si>
    <t>Difficulty</t>
  </si>
  <si>
    <t>Success</t>
  </si>
  <si>
    <t>Force Points</t>
  </si>
  <si>
    <t>Time</t>
  </si>
  <si>
    <t>Answer</t>
  </si>
  <si>
    <t>Attempt 1</t>
  </si>
  <si>
    <t>Attempt 2</t>
  </si>
  <si>
    <t>Attempt 3</t>
  </si>
  <si>
    <t>Attempt 4</t>
  </si>
  <si>
    <t>Attempt 5</t>
  </si>
  <si>
    <t>Attempt 6</t>
  </si>
  <si>
    <t>Attempt 7</t>
  </si>
  <si>
    <t>Attempt 8</t>
  </si>
  <si>
    <t>Attempt 9</t>
  </si>
  <si>
    <t>Attempt 10</t>
  </si>
  <si>
    <t>Attempt 11</t>
  </si>
  <si>
    <t>Attempt 12</t>
  </si>
  <si>
    <t>Attempt 13</t>
  </si>
  <si>
    <t>Attempt 14</t>
  </si>
  <si>
    <t>Attempt 15</t>
  </si>
  <si>
    <t>Astrogation</t>
  </si>
  <si>
    <t>Athletics</t>
  </si>
  <si>
    <t>Charm</t>
  </si>
  <si>
    <t>Coercion</t>
  </si>
  <si>
    <t>Computers</t>
  </si>
  <si>
    <t>Cool</t>
  </si>
  <si>
    <t>Coordination</t>
  </si>
  <si>
    <t>Deception</t>
  </si>
  <si>
    <t>Discipline</t>
  </si>
  <si>
    <t>Leadership</t>
  </si>
  <si>
    <t>Mechanics</t>
  </si>
  <si>
    <t>Medicine</t>
  </si>
  <si>
    <t>Negotiation</t>
  </si>
  <si>
    <t>Perception</t>
  </si>
  <si>
    <t>Piloting - Planetary</t>
  </si>
  <si>
    <t>Piloting - Space</t>
  </si>
  <si>
    <t>Resilience</t>
  </si>
  <si>
    <t>Skulduggery</t>
  </si>
  <si>
    <t>Stealth</t>
  </si>
  <si>
    <t>Streetwise</t>
  </si>
  <si>
    <t>Survival</t>
  </si>
  <si>
    <t>Brawl</t>
  </si>
  <si>
    <t>Melee</t>
  </si>
  <si>
    <t>Lightsaber</t>
  </si>
  <si>
    <t>Ranged - Light</t>
  </si>
  <si>
    <t>Ranged - Heavy</t>
  </si>
  <si>
    <t>Gunnery</t>
  </si>
  <si>
    <t>Core Worlds</t>
  </si>
  <si>
    <t>Education</t>
  </si>
  <si>
    <t>Lore</t>
  </si>
  <si>
    <t>Outer Rim</t>
  </si>
  <si>
    <t>Underworld</t>
  </si>
  <si>
    <t>Xenology</t>
  </si>
  <si>
    <t>Warfare</t>
  </si>
  <si>
    <t>Simple</t>
  </si>
  <si>
    <t>Easy</t>
  </si>
  <si>
    <t>Average</t>
  </si>
  <si>
    <t>Hard</t>
  </si>
  <si>
    <t>Daunting</t>
  </si>
  <si>
    <t>Formidable</t>
  </si>
  <si>
    <t>Count of Skills</t>
  </si>
  <si>
    <t>Min Success</t>
  </si>
  <si>
    <t>Max Success</t>
  </si>
  <si>
    <t>Min FP</t>
  </si>
  <si>
    <t>Max FP</t>
  </si>
  <si>
    <t>Min Hours</t>
  </si>
  <si>
    <t>Max Hours</t>
  </si>
  <si>
    <t>Count of Difficulty</t>
  </si>
  <si>
    <t>Skill Guessed</t>
  </si>
  <si>
    <t>Difficulty Guessed</t>
  </si>
  <si>
    <t>Success Achieved</t>
  </si>
  <si>
    <t>Force Points Achieved</t>
  </si>
  <si>
    <t>Force Type</t>
  </si>
  <si>
    <t>Time (Hours)</t>
  </si>
  <si>
    <t>Light Side</t>
  </si>
  <si>
    <t>Dark Side</t>
  </si>
  <si>
    <t>Attempt Guess / Roll in Discord First, then Enter Guess and Results Here.</t>
  </si>
  <si>
    <t>Entering a guess here will show you whether it was correct!</t>
  </si>
  <si>
    <t>Guesser</t>
  </si>
  <si>
    <t>Result</t>
  </si>
  <si>
    <t>Pax</t>
  </si>
  <si>
    <t>2 of 5</t>
  </si>
  <si>
    <t>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</si>
</sst>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406400</xdr:colOff>
          <xdr:row>7</xdr:row>
          <xdr:rowOff>127000</xdr:rowOff>
        </xdr:from>
        <xdr:to>
          <xdr:col>2</xdr:col>
          <xdr:colOff>1651000</xdr:colOff>
          <xdr:row>12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Attempt to Open Holocron!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279400</xdr:colOff>
          <xdr:row>8</xdr:row>
          <xdr:rowOff>165100</xdr:rowOff>
        </xdr:from>
        <xdr:to>
          <xdr:col>1</xdr:col>
          <xdr:colOff>406400</xdr:colOff>
          <xdr:row>12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Answer!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26E8-FA76-499C-90B1-95755101EA54}">
  <sheetPr codeName="SummarySheet"/>
  <dimension ref="B2:C7"/>
  <sheetViews>
    <sheetView showGridLines="0" tabSelected="1" workbookViewId="0">
      <selection activeCell="C18" sqref="C18"/>
    </sheetView>
  </sheetViews>
  <sheetFormatPr baseColWidth="10" defaultColWidth="8.83203125" defaultRowHeight="15" x14ac:dyDescent="0.2"/>
  <cols>
    <col min="2" max="2" width="20.83203125" bestFit="1" customWidth="1"/>
    <col min="3" max="3" width="31.33203125" customWidth="1"/>
  </cols>
  <sheetData>
    <row r="2" spans="2:3" x14ac:dyDescent="0.2">
      <c r="B2" s="3" t="s">
        <v>69</v>
      </c>
      <c r="C2" s="15"/>
    </row>
    <row r="3" spans="2:3" x14ac:dyDescent="0.2">
      <c r="B3" s="3" t="s">
        <v>70</v>
      </c>
      <c r="C3" s="16"/>
    </row>
    <row r="4" spans="2:3" x14ac:dyDescent="0.2">
      <c r="B4" s="3" t="s">
        <v>71</v>
      </c>
      <c r="C4" s="16"/>
    </row>
    <row r="5" spans="2:3" x14ac:dyDescent="0.2">
      <c r="B5" s="3" t="s">
        <v>72</v>
      </c>
      <c r="C5" s="16"/>
    </row>
    <row r="6" spans="2:3" x14ac:dyDescent="0.2">
      <c r="B6" s="3" t="s">
        <v>73</v>
      </c>
      <c r="C6" s="16"/>
    </row>
    <row r="7" spans="2:3" x14ac:dyDescent="0.2">
      <c r="B7" s="3" t="s">
        <v>74</v>
      </c>
      <c r="C7" s="17"/>
    </row>
  </sheetData>
  <dataValidations count="1">
    <dataValidation type="list" allowBlank="1" showInputMessage="1" showErrorMessage="1" sqref="C7" xr:uid="{7AAF6DDE-B65E-4FFD-B749-8CA88B70EF8A}">
      <formula1>"1,2,3,4,5,6,7,8,9,10,11,12,13,14,15,16,17,18,19,20,21,22,23,24"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ttemptToOpen">
                <anchor moveWithCells="1" sizeWithCells="1">
                  <from>
                    <xdr:col>1</xdr:col>
                    <xdr:colOff>406400</xdr:colOff>
                    <xdr:row>7</xdr:row>
                    <xdr:rowOff>127000</xdr:rowOff>
                  </from>
                  <to>
                    <xdr:col>2</xdr:col>
                    <xdr:colOff>1651000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D0F901-1AA5-4444-8D8D-CFBC97F57FBB}">
          <x14:formula1>
            <xm:f>Lists!$D$1:$D$34</xm:f>
          </x14:formula1>
          <xm:sqref>C2</xm:sqref>
        </x14:dataValidation>
        <x14:dataValidation type="list" allowBlank="1" showInputMessage="1" showErrorMessage="1" xr:uid="{F2D6E67F-3292-400A-8251-9596F93845A9}">
          <x14:formula1>
            <xm:f>Lists!$F$1:$F$6</xm:f>
          </x14:formula1>
          <xm:sqref>C3</xm:sqref>
        </x14:dataValidation>
        <x14:dataValidation type="list" allowBlank="1" showInputMessage="1" showErrorMessage="1" xr:uid="{56158A78-F30C-4DF0-A82A-DCCAF8F7C6C7}">
          <x14:formula1>
            <xm:f>Lists!$H$1:$H$2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3BBEF-38B0-4E5A-8229-7CD1AA747575}">
  <sheetPr codeName="paxresult"/>
  <dimension ref="A1:P48"/>
  <sheetViews>
    <sheetView showGridLines="0" workbookViewId="0">
      <selection activeCell="J29" sqref="J29"/>
    </sheetView>
  </sheetViews>
  <sheetFormatPr baseColWidth="10" defaultColWidth="8.83203125" defaultRowHeight="15" x14ac:dyDescent="0.2"/>
  <cols>
    <col min="1" max="1" width="20.83203125" bestFit="1" customWidth="1"/>
    <col min="2" max="10" width="9.83203125" bestFit="1" customWidth="1"/>
    <col min="11" max="16" width="10.83203125" bestFit="1" customWidth="1"/>
  </cols>
  <sheetData>
    <row r="1" spans="1:16" x14ac:dyDescent="0.2">
      <c r="A1" s="1" t="s">
        <v>77</v>
      </c>
    </row>
    <row r="2" spans="1:16" x14ac:dyDescent="0.2">
      <c r="A2" s="1" t="s">
        <v>78</v>
      </c>
    </row>
    <row r="4" spans="1:16" x14ac:dyDescent="0.2">
      <c r="B4" s="2" t="s">
        <v>6</v>
      </c>
      <c r="C4" s="2" t="s">
        <v>7</v>
      </c>
      <c r="D4" s="2" t="s">
        <v>8</v>
      </c>
      <c r="E4" s="2" t="s">
        <v>9</v>
      </c>
      <c r="F4" s="2" t="s">
        <v>10</v>
      </c>
      <c r="G4" s="2" t="s">
        <v>11</v>
      </c>
      <c r="H4" s="2" t="s">
        <v>12</v>
      </c>
      <c r="I4" s="2" t="s">
        <v>13</v>
      </c>
      <c r="J4" s="2" t="s">
        <v>14</v>
      </c>
      <c r="K4" s="2" t="s">
        <v>15</v>
      </c>
      <c r="L4" s="2" t="s">
        <v>16</v>
      </c>
      <c r="M4" s="2" t="s">
        <v>17</v>
      </c>
      <c r="N4" s="2" t="s">
        <v>18</v>
      </c>
      <c r="O4" s="2" t="s">
        <v>19</v>
      </c>
      <c r="P4" s="2" t="s">
        <v>20</v>
      </c>
    </row>
    <row r="5" spans="1:16" x14ac:dyDescent="0.2">
      <c r="A5" s="3" t="s">
        <v>69</v>
      </c>
      <c r="B5" s="6" t="s">
        <v>50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8"/>
    </row>
    <row r="6" spans="1:16" x14ac:dyDescent="0.2">
      <c r="A6" s="3" t="s">
        <v>70</v>
      </c>
      <c r="B6" s="9" t="s">
        <v>58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1"/>
    </row>
    <row r="7" spans="1:16" x14ac:dyDescent="0.2">
      <c r="A7" s="3" t="s">
        <v>71</v>
      </c>
      <c r="B7" s="9">
        <v>1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</row>
    <row r="8" spans="1:16" x14ac:dyDescent="0.2">
      <c r="A8" s="3" t="s">
        <v>72</v>
      </c>
      <c r="B8" s="9">
        <v>1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1"/>
    </row>
    <row r="9" spans="1:16" x14ac:dyDescent="0.2">
      <c r="A9" s="3" t="s">
        <v>73</v>
      </c>
      <c r="B9" s="9" t="s">
        <v>75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1"/>
    </row>
    <row r="10" spans="1:16" x14ac:dyDescent="0.2">
      <c r="A10" s="3" t="s">
        <v>74</v>
      </c>
      <c r="B10" s="12">
        <v>1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4"/>
    </row>
    <row r="11" spans="1:16" x14ac:dyDescent="0.2">
      <c r="A11" s="3" t="s">
        <v>79</v>
      </c>
      <c r="B11" s="6" t="s">
        <v>81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8"/>
    </row>
    <row r="12" spans="1:16" x14ac:dyDescent="0.2">
      <c r="A12" s="3" t="s">
        <v>80</v>
      </c>
      <c r="B12" s="12" t="s">
        <v>82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4"/>
    </row>
    <row r="15" spans="1:16" x14ac:dyDescent="0.2">
      <c r="B15" t="s">
        <v>21</v>
      </c>
      <c r="D15" t="s">
        <v>55</v>
      </c>
      <c r="F15" t="s">
        <v>75</v>
      </c>
    </row>
    <row r="16" spans="1:16" x14ac:dyDescent="0.2">
      <c r="B16" t="s">
        <v>22</v>
      </c>
      <c r="D16" t="s">
        <v>56</v>
      </c>
      <c r="F16" t="s">
        <v>76</v>
      </c>
    </row>
    <row r="17" spans="2:4" x14ac:dyDescent="0.2">
      <c r="B17" t="s">
        <v>23</v>
      </c>
      <c r="D17" t="s">
        <v>57</v>
      </c>
    </row>
    <row r="18" spans="2:4" x14ac:dyDescent="0.2">
      <c r="B18" t="s">
        <v>24</v>
      </c>
      <c r="D18" t="s">
        <v>58</v>
      </c>
    </row>
    <row r="19" spans="2:4" x14ac:dyDescent="0.2">
      <c r="B19" t="s">
        <v>25</v>
      </c>
      <c r="D19" t="s">
        <v>59</v>
      </c>
    </row>
    <row r="20" spans="2:4" x14ac:dyDescent="0.2">
      <c r="B20" t="s">
        <v>26</v>
      </c>
      <c r="D20" t="s">
        <v>60</v>
      </c>
    </row>
    <row r="21" spans="2:4" x14ac:dyDescent="0.2">
      <c r="B21" t="s">
        <v>27</v>
      </c>
    </row>
    <row r="22" spans="2:4" x14ac:dyDescent="0.2">
      <c r="B22" t="s">
        <v>28</v>
      </c>
    </row>
    <row r="23" spans="2:4" x14ac:dyDescent="0.2">
      <c r="B23" t="s">
        <v>29</v>
      </c>
    </row>
    <row r="24" spans="2:4" x14ac:dyDescent="0.2">
      <c r="B24" t="s">
        <v>30</v>
      </c>
    </row>
    <row r="25" spans="2:4" x14ac:dyDescent="0.2">
      <c r="B25" t="s">
        <v>31</v>
      </c>
    </row>
    <row r="26" spans="2:4" x14ac:dyDescent="0.2">
      <c r="B26" t="s">
        <v>32</v>
      </c>
    </row>
    <row r="27" spans="2:4" x14ac:dyDescent="0.2">
      <c r="B27" t="s">
        <v>33</v>
      </c>
    </row>
    <row r="28" spans="2:4" x14ac:dyDescent="0.2">
      <c r="B28" t="s">
        <v>34</v>
      </c>
    </row>
    <row r="29" spans="2:4" x14ac:dyDescent="0.2">
      <c r="B29" t="s">
        <v>35</v>
      </c>
    </row>
    <row r="30" spans="2:4" x14ac:dyDescent="0.2">
      <c r="B30" t="s">
        <v>36</v>
      </c>
    </row>
    <row r="31" spans="2:4" x14ac:dyDescent="0.2">
      <c r="B31" t="s">
        <v>37</v>
      </c>
    </row>
    <row r="32" spans="2:4" x14ac:dyDescent="0.2">
      <c r="B32" t="s">
        <v>38</v>
      </c>
    </row>
    <row r="33" spans="2:2" x14ac:dyDescent="0.2">
      <c r="B33" t="s">
        <v>39</v>
      </c>
    </row>
    <row r="34" spans="2:2" x14ac:dyDescent="0.2">
      <c r="B34" t="s">
        <v>40</v>
      </c>
    </row>
    <row r="35" spans="2:2" x14ac:dyDescent="0.2">
      <c r="B35" t="s">
        <v>41</v>
      </c>
    </row>
    <row r="36" spans="2:2" x14ac:dyDescent="0.2">
      <c r="B36" t="s">
        <v>42</v>
      </c>
    </row>
    <row r="37" spans="2:2" x14ac:dyDescent="0.2">
      <c r="B37" t="s">
        <v>43</v>
      </c>
    </row>
    <row r="38" spans="2:2" x14ac:dyDescent="0.2">
      <c r="B38" t="s">
        <v>44</v>
      </c>
    </row>
    <row r="39" spans="2:2" x14ac:dyDescent="0.2">
      <c r="B39" t="s">
        <v>45</v>
      </c>
    </row>
    <row r="40" spans="2:2" x14ac:dyDescent="0.2">
      <c r="B40" t="s">
        <v>46</v>
      </c>
    </row>
    <row r="41" spans="2:2" x14ac:dyDescent="0.2">
      <c r="B41" t="s">
        <v>47</v>
      </c>
    </row>
    <row r="42" spans="2:2" x14ac:dyDescent="0.2">
      <c r="B42" t="s">
        <v>48</v>
      </c>
    </row>
    <row r="43" spans="2:2" x14ac:dyDescent="0.2">
      <c r="B43" t="s">
        <v>49</v>
      </c>
    </row>
    <row r="44" spans="2:2" x14ac:dyDescent="0.2">
      <c r="B44" t="s">
        <v>50</v>
      </c>
    </row>
    <row r="45" spans="2:2" x14ac:dyDescent="0.2">
      <c r="B45" t="s">
        <v>51</v>
      </c>
    </row>
    <row r="46" spans="2:2" x14ac:dyDescent="0.2">
      <c r="B46" t="s">
        <v>52</v>
      </c>
    </row>
    <row r="47" spans="2:2" x14ac:dyDescent="0.2">
      <c r="B47" t="s">
        <v>53</v>
      </c>
    </row>
    <row r="48" spans="2:2" x14ac:dyDescent="0.2">
      <c r="B48" t="s">
        <v>54</v>
      </c>
    </row>
  </sheetData>
  <dataValidations count="1">
    <dataValidation type="list" allowBlank="1" showInputMessage="1" showErrorMessage="1" sqref="B10:P10" xr:uid="{41E66ACF-D475-4420-9A32-6366079015F5}">
      <formula1>"1,2,3,4,5,6,7,8,9,10,11,12,13,14,15,16,17,18,19,20,21,22,23,24"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90A01C4-2B9A-47F0-ABF9-F26542446227}">
          <x14:formula1>
            <xm:f>Lists!$H$1:$H$2</xm:f>
          </x14:formula1>
          <xm:sqref>B9:P9</xm:sqref>
        </x14:dataValidation>
        <x14:dataValidation type="list" allowBlank="1" showInputMessage="1" showErrorMessage="1" xr:uid="{743FE4FF-DDA2-4848-BC64-1008F0FD3530}">
          <x14:formula1>
            <xm:f>Lists!$F$1:$F$6</xm:f>
          </x14:formula1>
          <xm:sqref>B6:P6</xm:sqref>
        </x14:dataValidation>
        <x14:dataValidation type="list" allowBlank="1" showInputMessage="1" showErrorMessage="1" xr:uid="{7CD9D8E3-40E4-4938-930F-C2D6179151F4}">
          <x14:formula1>
            <xm:f>Lists!$D$1:$D$34</xm:f>
          </x14:formula1>
          <xm:sqref>B5:P5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586DA-8D41-4166-9811-D4FD67970597}">
  <sheetPr codeName="ruresult"/>
  <dimension ref="A1:P12"/>
  <sheetViews>
    <sheetView showGridLines="0" workbookViewId="0">
      <selection activeCell="A12" sqref="A12"/>
    </sheetView>
  </sheetViews>
  <sheetFormatPr baseColWidth="10" defaultColWidth="8.83203125" defaultRowHeight="15" x14ac:dyDescent="0.2"/>
  <cols>
    <col min="1" max="1" width="20.83203125" bestFit="1" customWidth="1"/>
    <col min="2" max="10" width="9.83203125" bestFit="1" customWidth="1"/>
    <col min="11" max="16" width="10.83203125" bestFit="1" customWidth="1"/>
  </cols>
  <sheetData>
    <row r="1" spans="1:16" x14ac:dyDescent="0.2">
      <c r="A1" s="1" t="s">
        <v>77</v>
      </c>
    </row>
    <row r="2" spans="1:16" x14ac:dyDescent="0.2">
      <c r="A2" s="1" t="s">
        <v>78</v>
      </c>
    </row>
    <row r="4" spans="1:16" x14ac:dyDescent="0.2">
      <c r="B4" s="2" t="s">
        <v>6</v>
      </c>
      <c r="C4" s="2" t="s">
        <v>7</v>
      </c>
      <c r="D4" s="2" t="s">
        <v>8</v>
      </c>
      <c r="E4" s="2" t="s">
        <v>9</v>
      </c>
      <c r="F4" s="2" t="s">
        <v>10</v>
      </c>
      <c r="G4" s="2" t="s">
        <v>11</v>
      </c>
      <c r="H4" s="2" t="s">
        <v>12</v>
      </c>
      <c r="I4" s="2" t="s">
        <v>13</v>
      </c>
      <c r="J4" s="2" t="s">
        <v>14</v>
      </c>
      <c r="K4" s="2" t="s">
        <v>15</v>
      </c>
      <c r="L4" s="2" t="s">
        <v>16</v>
      </c>
      <c r="M4" s="2" t="s">
        <v>17</v>
      </c>
      <c r="N4" s="2" t="s">
        <v>18</v>
      </c>
      <c r="O4" s="2" t="s">
        <v>19</v>
      </c>
      <c r="P4" s="2" t="s">
        <v>20</v>
      </c>
    </row>
    <row r="5" spans="1:16" x14ac:dyDescent="0.2">
      <c r="A5" s="3" t="s">
        <v>69</v>
      </c>
      <c r="B5" s="6" t="s">
        <v>22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8"/>
    </row>
    <row r="6" spans="1:16" x14ac:dyDescent="0.2">
      <c r="A6" s="3" t="s">
        <v>70</v>
      </c>
      <c r="B6" s="9" t="s">
        <v>57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1"/>
    </row>
    <row r="7" spans="1:16" x14ac:dyDescent="0.2">
      <c r="A7" s="3" t="s">
        <v>71</v>
      </c>
      <c r="B7" s="9">
        <v>1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</row>
    <row r="8" spans="1:16" x14ac:dyDescent="0.2">
      <c r="A8" s="3" t="s">
        <v>72</v>
      </c>
      <c r="B8" s="9">
        <v>1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1"/>
    </row>
    <row r="9" spans="1:16" x14ac:dyDescent="0.2">
      <c r="A9" s="3" t="s">
        <v>73</v>
      </c>
      <c r="B9" s="9" t="s">
        <v>76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1"/>
    </row>
    <row r="10" spans="1:16" x14ac:dyDescent="0.2">
      <c r="A10" s="3" t="s">
        <v>74</v>
      </c>
      <c r="B10" s="12">
        <v>1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4"/>
    </row>
    <row r="11" spans="1:16" x14ac:dyDescent="0.2">
      <c r="A11" s="3" t="s">
        <v>79</v>
      </c>
      <c r="B11" s="6" t="s">
        <v>83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8"/>
    </row>
    <row r="12" spans="1:16" x14ac:dyDescent="0.2">
      <c r="A12" s="3" t="s">
        <v>80</v>
      </c>
      <c r="B12" s="12" t="s">
        <v>82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4"/>
    </row>
  </sheetData>
  <dataValidations count="1">
    <dataValidation type="list" allowBlank="1" showInputMessage="1" showErrorMessage="1" sqref="B10:P10" xr:uid="{C9A9E57F-F9AF-4947-917D-A16A1359D016}">
      <formula1>"1,2,3,4,5,6,7,8,9,10,11,12,13,14,15,16,17,18,19,20,21,22,23,24"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0644471-46C3-4CA7-B477-AD58E881E034}">
          <x14:formula1>
            <xm:f>Lists!$D$1:$D$34</xm:f>
          </x14:formula1>
          <xm:sqref>B5:P5</xm:sqref>
        </x14:dataValidation>
        <x14:dataValidation type="list" allowBlank="1" showInputMessage="1" showErrorMessage="1" xr:uid="{96661F58-3C19-4F1B-9EE8-8BFE0958B320}">
          <x14:formula1>
            <xm:f>Lists!$F$1:$F$6</xm:f>
          </x14:formula1>
          <xm:sqref>B6:P6</xm:sqref>
        </x14:dataValidation>
        <x14:dataValidation type="list" allowBlank="1" showInputMessage="1" showErrorMessage="1" xr:uid="{AA75ECD1-1C59-4450-8491-586F31317802}">
          <x14:formula1>
            <xm:f>Lists!$H$1:$H$2</xm:f>
          </x14:formula1>
          <xm:sqref>B9:P9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F6C4A-35D6-458B-AC8D-7653010EF80A}">
  <sheetPr codeName="lists"/>
  <dimension ref="A1:H34"/>
  <sheetViews>
    <sheetView workbookViewId="0">
      <selection activeCell="H33" sqref="H33"/>
    </sheetView>
  </sheetViews>
  <sheetFormatPr baseColWidth="10" defaultColWidth="8.83203125" defaultRowHeight="15" x14ac:dyDescent="0.2"/>
  <cols>
    <col min="1" max="1" width="17.5" bestFit="1" customWidth="1"/>
    <col min="4" max="4" width="18.1640625" bestFit="1" customWidth="1"/>
    <col min="6" max="6" width="11.1640625" bestFit="1" customWidth="1"/>
  </cols>
  <sheetData>
    <row r="1" spans="1:8" x14ac:dyDescent="0.2">
      <c r="A1" t="s">
        <v>61</v>
      </c>
      <c r="B1" s="4">
        <f>COUNTA(D:D)</f>
        <v>34</v>
      </c>
      <c r="D1" t="s">
        <v>21</v>
      </c>
      <c r="F1" t="s">
        <v>55</v>
      </c>
      <c r="H1" t="s">
        <v>75</v>
      </c>
    </row>
    <row r="2" spans="1:8" x14ac:dyDescent="0.2">
      <c r="A2" t="s">
        <v>62</v>
      </c>
      <c r="B2" s="5">
        <v>1</v>
      </c>
      <c r="D2" t="s">
        <v>22</v>
      </c>
      <c r="F2" t="s">
        <v>56</v>
      </c>
      <c r="H2" t="s">
        <v>76</v>
      </c>
    </row>
    <row r="3" spans="1:8" x14ac:dyDescent="0.2">
      <c r="A3" t="s">
        <v>63</v>
      </c>
      <c r="B3" s="5">
        <v>3</v>
      </c>
      <c r="D3" t="s">
        <v>23</v>
      </c>
      <c r="F3" t="s">
        <v>57</v>
      </c>
    </row>
    <row r="4" spans="1:8" x14ac:dyDescent="0.2">
      <c r="A4" t="s">
        <v>64</v>
      </c>
      <c r="B4" s="5">
        <v>1</v>
      </c>
      <c r="D4" t="s">
        <v>24</v>
      </c>
      <c r="F4" t="s">
        <v>58</v>
      </c>
    </row>
    <row r="5" spans="1:8" x14ac:dyDescent="0.2">
      <c r="A5" t="s">
        <v>65</v>
      </c>
      <c r="B5" s="5">
        <v>2</v>
      </c>
      <c r="D5" t="s">
        <v>25</v>
      </c>
      <c r="F5" t="s">
        <v>59</v>
      </c>
    </row>
    <row r="6" spans="1:8" x14ac:dyDescent="0.2">
      <c r="A6" t="s">
        <v>66</v>
      </c>
      <c r="B6" s="5">
        <v>1</v>
      </c>
      <c r="D6" t="s">
        <v>26</v>
      </c>
      <c r="F6" t="s">
        <v>60</v>
      </c>
    </row>
    <row r="7" spans="1:8" x14ac:dyDescent="0.2">
      <c r="A7" t="s">
        <v>67</v>
      </c>
      <c r="B7" s="5">
        <v>12</v>
      </c>
      <c r="D7" t="s">
        <v>27</v>
      </c>
    </row>
    <row r="8" spans="1:8" x14ac:dyDescent="0.2">
      <c r="A8" t="s">
        <v>68</v>
      </c>
      <c r="B8" s="4">
        <f>COUNTA(F:F)</f>
        <v>6</v>
      </c>
      <c r="D8" t="s">
        <v>28</v>
      </c>
    </row>
    <row r="9" spans="1:8" x14ac:dyDescent="0.2">
      <c r="D9" t="s">
        <v>29</v>
      </c>
    </row>
    <row r="10" spans="1:8" x14ac:dyDescent="0.2">
      <c r="D10" t="s">
        <v>30</v>
      </c>
    </row>
    <row r="11" spans="1:8" x14ac:dyDescent="0.2">
      <c r="D11" t="s">
        <v>31</v>
      </c>
    </row>
    <row r="12" spans="1:8" x14ac:dyDescent="0.2">
      <c r="D12" t="s">
        <v>32</v>
      </c>
    </row>
    <row r="13" spans="1:8" x14ac:dyDescent="0.2">
      <c r="D13" t="s">
        <v>33</v>
      </c>
    </row>
    <row r="14" spans="1:8" x14ac:dyDescent="0.2">
      <c r="D14" t="s">
        <v>34</v>
      </c>
    </row>
    <row r="15" spans="1:8" x14ac:dyDescent="0.2">
      <c r="D15" t="s">
        <v>35</v>
      </c>
    </row>
    <row r="16" spans="1:8" x14ac:dyDescent="0.2">
      <c r="D16" t="s">
        <v>36</v>
      </c>
    </row>
    <row r="17" spans="4:4" x14ac:dyDescent="0.2">
      <c r="D17" t="s">
        <v>37</v>
      </c>
    </row>
    <row r="18" spans="4:4" x14ac:dyDescent="0.2">
      <c r="D18" t="s">
        <v>38</v>
      </c>
    </row>
    <row r="19" spans="4:4" x14ac:dyDescent="0.2">
      <c r="D19" t="s">
        <v>39</v>
      </c>
    </row>
    <row r="20" spans="4:4" x14ac:dyDescent="0.2">
      <c r="D20" t="s">
        <v>40</v>
      </c>
    </row>
    <row r="21" spans="4:4" x14ac:dyDescent="0.2">
      <c r="D21" t="s">
        <v>41</v>
      </c>
    </row>
    <row r="22" spans="4:4" x14ac:dyDescent="0.2">
      <c r="D22" t="s">
        <v>42</v>
      </c>
    </row>
    <row r="23" spans="4:4" x14ac:dyDescent="0.2">
      <c r="D23" t="s">
        <v>43</v>
      </c>
    </row>
    <row r="24" spans="4:4" x14ac:dyDescent="0.2">
      <c r="D24" t="s">
        <v>44</v>
      </c>
    </row>
    <row r="25" spans="4:4" x14ac:dyDescent="0.2">
      <c r="D25" t="s">
        <v>45</v>
      </c>
    </row>
    <row r="26" spans="4:4" x14ac:dyDescent="0.2">
      <c r="D26" t="s">
        <v>46</v>
      </c>
    </row>
    <row r="27" spans="4:4" x14ac:dyDescent="0.2">
      <c r="D27" t="s">
        <v>47</v>
      </c>
    </row>
    <row r="28" spans="4:4" x14ac:dyDescent="0.2">
      <c r="D28" t="s">
        <v>48</v>
      </c>
    </row>
    <row r="29" spans="4:4" x14ac:dyDescent="0.2">
      <c r="D29" t="s">
        <v>49</v>
      </c>
    </row>
    <row r="30" spans="4:4" x14ac:dyDescent="0.2">
      <c r="D30" t="s">
        <v>50</v>
      </c>
    </row>
    <row r="31" spans="4:4" x14ac:dyDescent="0.2">
      <c r="D31" t="s">
        <v>51</v>
      </c>
    </row>
    <row r="32" spans="4:4" x14ac:dyDescent="0.2">
      <c r="D32" t="s">
        <v>52</v>
      </c>
    </row>
    <row r="33" spans="4:4" x14ac:dyDescent="0.2">
      <c r="D33" t="s">
        <v>53</v>
      </c>
    </row>
    <row r="34" spans="4:4" x14ac:dyDescent="0.2">
      <c r="D34" t="s">
        <v>54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Holocron">
                <anchor moveWithCells="1" sizeWithCells="1">
                  <from>
                    <xdr:col>0</xdr:col>
                    <xdr:colOff>279400</xdr:colOff>
                    <xdr:row>8</xdr:row>
                    <xdr:rowOff>165100</xdr:rowOff>
                  </from>
                  <to>
                    <xdr:col>1</xdr:col>
                    <xdr:colOff>406400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D857D-217F-445E-ABBA-97742D308FC5}">
  <sheetPr codeName="Answer"/>
  <dimension ref="A1:B7"/>
  <sheetViews>
    <sheetView workbookViewId="0">
      <selection activeCell="E4" sqref="E4"/>
    </sheetView>
  </sheetViews>
  <sheetFormatPr baseColWidth="10" defaultColWidth="8.83203125" defaultRowHeight="15" x14ac:dyDescent="0.2"/>
  <cols>
    <col min="1" max="1" width="11.83203125" bestFit="1" customWidth="1"/>
    <col min="2" max="2" width="11.1640625" bestFit="1" customWidth="1"/>
  </cols>
  <sheetData>
    <row r="1" spans="1:2" x14ac:dyDescent="0.2">
      <c r="B1" s="2" t="s">
        <v>5</v>
      </c>
    </row>
    <row r="2" spans="1:2" x14ac:dyDescent="0.2">
      <c r="A2" s="3" t="s">
        <v>0</v>
      </c>
      <c r="B2" t="s">
        <v>44</v>
      </c>
    </row>
    <row r="3" spans="1:2" x14ac:dyDescent="0.2">
      <c r="A3" s="3" t="s">
        <v>1</v>
      </c>
      <c r="B3" t="s">
        <v>58</v>
      </c>
    </row>
    <row r="4" spans="1:2" x14ac:dyDescent="0.2">
      <c r="A4" s="3" t="s">
        <v>2</v>
      </c>
      <c r="B4">
        <v>1</v>
      </c>
    </row>
    <row r="5" spans="1:2" x14ac:dyDescent="0.2">
      <c r="A5" s="3" t="s">
        <v>3</v>
      </c>
      <c r="B5">
        <v>1</v>
      </c>
    </row>
    <row r="6" spans="1:2" x14ac:dyDescent="0.2">
      <c r="A6" s="3" t="s">
        <v>73</v>
      </c>
      <c r="B6" t="s">
        <v>76</v>
      </c>
    </row>
    <row r="7" spans="1:2" x14ac:dyDescent="0.2">
      <c r="A7" s="3" t="s">
        <v>4</v>
      </c>
      <c r="B7">
        <v>10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Blank Sheet</vt:lpstr>
      <vt:lpstr>Roll Results - Pax</vt:lpstr>
      <vt:lpstr>Roll Results - Ru</vt:lpstr>
      <vt:lpstr>Lists</vt:lpstr>
      <vt:lpstr>Answer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VenHuizen</dc:creator>
  <cp:lastModifiedBy>Keith VenHuizen</cp:lastModifiedBy>
  <dcterms:created xsi:type="dcterms:W3CDTF">2022-04-29T21:03:53Z</dcterms:created>
  <dcterms:modified xsi:type="dcterms:W3CDTF">2022-05-24T03:59:18Z</dcterms:modified>
</cp:coreProperties>
</file>